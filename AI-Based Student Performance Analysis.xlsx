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ownloads\"/>
    </mc:Choice>
  </mc:AlternateContent>
  <xr:revisionPtr revIDLastSave="0" documentId="13_ncr:1_{756E6859-6DE4-45FA-B34F-7574C495753A}" xr6:coauthVersionLast="47" xr6:coauthVersionMax="47" xr10:uidLastSave="{00000000-0000-0000-0000-000000000000}"/>
  <bookViews>
    <workbookView xWindow="-108" yWindow="-108" windowWidth="23256" windowHeight="12456" activeTab="1" xr2:uid="{26EF988A-AB41-4922-98DF-9715AC1805B0}"/>
  </bookViews>
  <sheets>
    <sheet name="DATABAS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2" l="1"/>
  <c r="E12" i="2"/>
  <c r="E13" i="2"/>
  <c r="E14" i="2"/>
  <c r="J23" i="2"/>
  <c r="H21" i="2"/>
  <c r="J21" i="2" s="1"/>
  <c r="H20" i="2"/>
  <c r="J20" i="2" s="1"/>
  <c r="H19" i="2"/>
  <c r="J19" i="2" s="1"/>
  <c r="H18" i="2"/>
  <c r="I18" i="2" s="1"/>
  <c r="H17" i="2"/>
  <c r="J17" i="2" s="1"/>
  <c r="J24" i="2" l="1"/>
  <c r="J25" i="2" s="1"/>
  <c r="F26" i="2" s="1"/>
  <c r="I19" i="2"/>
  <c r="J18" i="2"/>
  <c r="I20" i="2"/>
  <c r="I17" i="2"/>
  <c r="I21" i="2"/>
  <c r="F24" i="2" l="1"/>
  <c r="F25" i="2"/>
</calcChain>
</file>

<file path=xl/sharedStrings.xml><?xml version="1.0" encoding="utf-8"?>
<sst xmlns="http://schemas.openxmlformats.org/spreadsheetml/2006/main" count="92" uniqueCount="63">
  <si>
    <t>S.No</t>
  </si>
  <si>
    <t>Roll No</t>
  </si>
  <si>
    <t>Student Name</t>
  </si>
  <si>
    <t>Father's Name</t>
  </si>
  <si>
    <t>DOB</t>
  </si>
  <si>
    <t>Class</t>
  </si>
  <si>
    <t>English</t>
  </si>
  <si>
    <t>Hindi</t>
  </si>
  <si>
    <t>Science</t>
  </si>
  <si>
    <t>Maths</t>
  </si>
  <si>
    <t>SST</t>
  </si>
  <si>
    <t>Aman Sharma</t>
  </si>
  <si>
    <t>Rajesh Sharma</t>
  </si>
  <si>
    <t>10th</t>
  </si>
  <si>
    <t>Rahul Verma</t>
  </si>
  <si>
    <t>Suresh Verma</t>
  </si>
  <si>
    <t>Neha Singh</t>
  </si>
  <si>
    <t>Mahesh Singh</t>
  </si>
  <si>
    <t>Priya Patel</t>
  </si>
  <si>
    <t>Rakesh Patel</t>
  </si>
  <si>
    <t>Rohit Yadav</t>
  </si>
  <si>
    <t>Dinesh Yadav</t>
  </si>
  <si>
    <t>Karan Gupta</t>
  </si>
  <si>
    <t>Mukesh Gupta</t>
  </si>
  <si>
    <t>Sneha Joshi</t>
  </si>
  <si>
    <t>Deepak Joshi</t>
  </si>
  <si>
    <t>Pooja Mishra</t>
  </si>
  <si>
    <t>Anil Mishra</t>
  </si>
  <si>
    <t>Vivek Kumar</t>
  </si>
  <si>
    <t>Ramesh Kumar</t>
  </si>
  <si>
    <t>Anjali Roy</t>
  </si>
  <si>
    <t>Sandeep Roy</t>
  </si>
  <si>
    <t>Deepak Chauhan</t>
  </si>
  <si>
    <t>Raj Chauhan</t>
  </si>
  <si>
    <t>Komal Jain</t>
  </si>
  <si>
    <t>Pankaj Jain</t>
  </si>
  <si>
    <t>Arjun Thakur</t>
  </si>
  <si>
    <t>Mohan Thakur</t>
  </si>
  <si>
    <t>Riya Saxena</t>
  </si>
  <si>
    <t>Alok Saxena</t>
  </si>
  <si>
    <t>Manish Dubey</t>
  </si>
  <si>
    <t>Sanjay Dubey</t>
  </si>
  <si>
    <t>Roll No.</t>
  </si>
  <si>
    <t>:</t>
  </si>
  <si>
    <t>Subject</t>
  </si>
  <si>
    <t>Total Marks</t>
  </si>
  <si>
    <t>Passing Marks</t>
  </si>
  <si>
    <t>Obtained Marks</t>
  </si>
  <si>
    <t>Percentage</t>
  </si>
  <si>
    <t>Pass/Fail</t>
  </si>
  <si>
    <t xml:space="preserve">Total Marks </t>
  </si>
  <si>
    <t>Final Result :</t>
  </si>
  <si>
    <t>Grade          :</t>
  </si>
  <si>
    <t xml:space="preserve"> </t>
  </si>
  <si>
    <t>No Grade</t>
  </si>
  <si>
    <t>Grade C</t>
  </si>
  <si>
    <t>Grade B</t>
  </si>
  <si>
    <t>Grade A</t>
  </si>
  <si>
    <t>Needs Improvement</t>
  </si>
  <si>
    <t>Excellent Performance</t>
  </si>
  <si>
    <t>Good Performance</t>
  </si>
  <si>
    <t>Average Performance</t>
  </si>
  <si>
    <t>AI-Based Student Performance Analysis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</si>
</sst>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/>
    <xf numFmtId="0" fontId="2" fillId="2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9" fontId="0" fillId="2" borderId="1" xfId="1" applyFont="1" applyFill="1" applyBorder="1"/>
    <xf numFmtId="9" fontId="0" fillId="0" borderId="0" xfId="0" applyNumberFormat="1"/>
    <xf numFmtId="9" fontId="2" fillId="0" borderId="0" xfId="0" applyNumberFormat="1" applyFont="1"/>
    <xf numFmtId="0" fontId="2" fillId="2" borderId="0" xfId="0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576701</xdr:colOff>
      <xdr:row>1</xdr:row>
      <xdr:rowOff>10161</xdr:rowOff>
    </xdr:from>
    <xdr:to>
      <xdr:col>12</xdr:col>
      <xdr:colOff>10160</xdr:colOff>
      <xdr:row>26</xdr:row>
      <xdr:rowOff>71120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828997BB-56BE-0638-DCE8-ABCC9536A41F}"/>
            </a:ext>
          </a:extLst>
        </xdr:cNvPr>
        <xdr:cNvSpPr/>
      </xdr:nvSpPr>
      <xdr:spPr>
        <a:xfrm>
          <a:off x="576701" y="304801"/>
          <a:ext cx="8435219" cy="4866639"/>
        </a:xfrm>
        <a:prstGeom prst="frame">
          <a:avLst>
            <a:gd name="adj1" fmla="val 133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330200</xdr:colOff>
      <xdr:row>1</xdr:row>
      <xdr:rowOff>1</xdr:rowOff>
    </xdr:from>
    <xdr:to>
      <xdr:col>8</xdr:col>
      <xdr:colOff>558799</xdr:colOff>
      <xdr:row>3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23BB00-2B68-EE15-2EC9-905795018C8B}"/>
            </a:ext>
          </a:extLst>
        </xdr:cNvPr>
        <xdr:cNvSpPr txBox="1"/>
      </xdr:nvSpPr>
      <xdr:spPr>
        <a:xfrm>
          <a:off x="2446867" y="186268"/>
          <a:ext cx="3920065" cy="4741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          </a:t>
          </a:r>
          <a:r>
            <a:rPr lang="en-IN" sz="18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Sage International School</a:t>
          </a:r>
          <a:endParaRPr lang="en-IN" sz="2400"/>
        </a:p>
      </xdr:txBody>
    </xdr:sp>
    <xdr:clientData/>
  </xdr:twoCellAnchor>
  <xdr:twoCellAnchor>
    <xdr:from>
      <xdr:col>5</xdr:col>
      <xdr:colOff>152401</xdr:colOff>
      <xdr:row>3</xdr:row>
      <xdr:rowOff>25400</xdr:rowOff>
    </xdr:from>
    <xdr:to>
      <xdr:col>9</xdr:col>
      <xdr:colOff>194733</xdr:colOff>
      <xdr:row>4</xdr:row>
      <xdr:rowOff>84666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81D2EE7-7C27-0AC0-921D-A0793DF19148}"/>
            </a:ext>
          </a:extLst>
        </xdr:cNvPr>
        <xdr:cNvSpPr txBox="1"/>
      </xdr:nvSpPr>
      <xdr:spPr>
        <a:xfrm>
          <a:off x="3039534" y="584200"/>
          <a:ext cx="3759199" cy="245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    </a:t>
          </a:r>
          <a:r>
            <a:rPr lang="en-IN" sz="11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Katara</a:t>
          </a:r>
          <a:r>
            <a:rPr lang="en-IN" sz="11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hills, bypass Road, Bhopal 462041</a:t>
          </a:r>
          <a:endParaRPr lang="en-IN" sz="1100" b="1"/>
        </a:p>
      </xdr:txBody>
    </xdr:sp>
    <xdr:clientData/>
  </xdr:twoCellAnchor>
  <xdr:twoCellAnchor editAs="oneCell">
    <xdr:from>
      <xdr:col>1</xdr:col>
      <xdr:colOff>71121</xdr:colOff>
      <xdr:row>1</xdr:row>
      <xdr:rowOff>74507</xdr:rowOff>
    </xdr:from>
    <xdr:to>
      <xdr:col>2</xdr:col>
      <xdr:colOff>201506</xdr:colOff>
      <xdr:row>3</xdr:row>
      <xdr:rowOff>49106</xdr:rowOff>
    </xdr:to>
    <xdr:pic>
      <xdr:nvPicPr>
        <xdr:cNvPr id="7" name="Graphic 6" descr="Speaker phone with solid fill">
          <a:extLst>
            <a:ext uri="{FF2B5EF4-FFF2-40B4-BE49-F238E27FC236}">
              <a16:creationId xmlns:a16="http://schemas.microsoft.com/office/drawing/2014/main" id="{61CA8F87-9D34-09DE-E330-199E3C6AA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70561" y="369147"/>
          <a:ext cx="353905" cy="340359"/>
        </a:xfrm>
        <a:prstGeom prst="rect">
          <a:avLst/>
        </a:prstGeom>
      </xdr:spPr>
    </xdr:pic>
    <xdr:clientData/>
  </xdr:twoCellAnchor>
  <xdr:twoCellAnchor>
    <xdr:from>
      <xdr:col>2</xdr:col>
      <xdr:colOff>139701</xdr:colOff>
      <xdr:row>1</xdr:row>
      <xdr:rowOff>84666</xdr:rowOff>
    </xdr:from>
    <xdr:to>
      <xdr:col>4</xdr:col>
      <xdr:colOff>45721</xdr:colOff>
      <xdr:row>2</xdr:row>
      <xdr:rowOff>169334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1B3DA5C-B1F2-5A68-8435-4DDA1F5F5350}"/>
            </a:ext>
          </a:extLst>
        </xdr:cNvPr>
        <xdr:cNvSpPr txBox="1"/>
      </xdr:nvSpPr>
      <xdr:spPr>
        <a:xfrm>
          <a:off x="962661" y="379306"/>
          <a:ext cx="1714500" cy="267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0123201383</a:t>
          </a:r>
        </a:p>
      </xdr:txBody>
    </xdr:sp>
    <xdr:clientData/>
  </xdr:twoCellAnchor>
  <xdr:twoCellAnchor>
    <xdr:from>
      <xdr:col>9</xdr:col>
      <xdr:colOff>465667</xdr:colOff>
      <xdr:row>3</xdr:row>
      <xdr:rowOff>42333</xdr:rowOff>
    </xdr:from>
    <xdr:to>
      <xdr:col>11</xdr:col>
      <xdr:colOff>575733</xdr:colOff>
      <xdr:row>4</xdr:row>
      <xdr:rowOff>152399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112B2AD-43F0-3A2B-54E0-3472E4201E15}"/>
            </a:ext>
          </a:extLst>
        </xdr:cNvPr>
        <xdr:cNvSpPr txBox="1"/>
      </xdr:nvSpPr>
      <xdr:spPr>
        <a:xfrm>
          <a:off x="7069667" y="601133"/>
          <a:ext cx="1261533" cy="2963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Session    25-26</a:t>
          </a:r>
        </a:p>
      </xdr:txBody>
    </xdr:sp>
    <xdr:clientData/>
  </xdr:twoCellAnchor>
  <xdr:twoCellAnchor>
    <xdr:from>
      <xdr:col>5</xdr:col>
      <xdr:colOff>321733</xdr:colOff>
      <xdr:row>5</xdr:row>
      <xdr:rowOff>16934</xdr:rowOff>
    </xdr:from>
    <xdr:to>
      <xdr:col>8</xdr:col>
      <xdr:colOff>296333</xdr:colOff>
      <xdr:row>6</xdr:row>
      <xdr:rowOff>152400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F98C238-E94F-BFA6-B94A-2587E69343D6}"/>
            </a:ext>
          </a:extLst>
        </xdr:cNvPr>
        <xdr:cNvSpPr txBox="1"/>
      </xdr:nvSpPr>
      <xdr:spPr>
        <a:xfrm>
          <a:off x="3369733" y="948267"/>
          <a:ext cx="1803400" cy="3217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 u="sng"/>
            <a:t>Report</a:t>
          </a:r>
          <a:r>
            <a:rPr lang="en-IN" sz="1800" b="1" u="sng" baseline="0"/>
            <a:t> Card</a:t>
          </a:r>
          <a:endParaRPr lang="en-IN" sz="1800" b="1" u="sng"/>
        </a:p>
      </xdr:txBody>
    </xdr:sp>
    <xdr:clientData/>
  </xdr:twoCellAnchor>
  <xdr:twoCellAnchor>
    <xdr:from>
      <xdr:col>10</xdr:col>
      <xdr:colOff>42334</xdr:colOff>
      <xdr:row>24</xdr:row>
      <xdr:rowOff>59267</xdr:rowOff>
    </xdr:from>
    <xdr:to>
      <xdr:col>11</xdr:col>
      <xdr:colOff>372534</xdr:colOff>
      <xdr:row>25</xdr:row>
      <xdr:rowOff>186266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ABEEE24-3102-5265-60BC-07C51F5A8C6F}"/>
            </a:ext>
          </a:extLst>
        </xdr:cNvPr>
        <xdr:cNvSpPr txBox="1"/>
      </xdr:nvSpPr>
      <xdr:spPr>
        <a:xfrm>
          <a:off x="7577667" y="4631267"/>
          <a:ext cx="812800" cy="287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/>
            <a:t>Principal</a:t>
          </a:r>
        </a:p>
      </xdr:txBody>
    </xdr:sp>
    <xdr:clientData/>
  </xdr:twoCellAnchor>
  <xdr:twoCellAnchor>
    <xdr:from>
      <xdr:col>1</xdr:col>
      <xdr:colOff>186268</xdr:colOff>
      <xdr:row>23</xdr:row>
      <xdr:rowOff>186266</xdr:rowOff>
    </xdr:from>
    <xdr:to>
      <xdr:col>2</xdr:col>
      <xdr:colOff>802640</xdr:colOff>
      <xdr:row>25</xdr:row>
      <xdr:rowOff>71120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7DD0854-5CFF-E621-C174-855CD3B2B817}"/>
            </a:ext>
          </a:extLst>
        </xdr:cNvPr>
        <xdr:cNvSpPr txBox="1"/>
      </xdr:nvSpPr>
      <xdr:spPr>
        <a:xfrm>
          <a:off x="785708" y="4616026"/>
          <a:ext cx="839892" cy="240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Controller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BD3D-E21C-4628-B373-DD881E8088D9}">
  <dimension ref="A1:K16"/>
  <sheetViews>
    <sheetView zoomScale="72" workbookViewId="0">
      <selection activeCell="L1" sqref="L1"/>
    </sheetView>
  </sheetViews>
  <sheetFormatPr defaultRowHeight="14.4" x14ac:dyDescent="0.3"/>
  <cols>
    <col min="5" max="5" width="10.33203125" bestFit="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8.8" x14ac:dyDescent="0.3">
      <c r="A2" s="2">
        <v>1</v>
      </c>
      <c r="B2" s="2">
        <v>101</v>
      </c>
      <c r="C2" s="2" t="s">
        <v>11</v>
      </c>
      <c r="D2" s="2" t="s">
        <v>12</v>
      </c>
      <c r="E2" s="3">
        <v>39125</v>
      </c>
      <c r="F2" s="2" t="s">
        <v>13</v>
      </c>
      <c r="G2" s="2">
        <v>78</v>
      </c>
      <c r="H2" s="2">
        <v>69</v>
      </c>
      <c r="I2" s="2">
        <v>72</v>
      </c>
      <c r="J2" s="2">
        <v>81</v>
      </c>
      <c r="K2" s="2">
        <v>75</v>
      </c>
    </row>
    <row r="3" spans="1:11" ht="28.8" x14ac:dyDescent="0.3">
      <c r="A3" s="2">
        <v>2</v>
      </c>
      <c r="B3" s="2">
        <v>102</v>
      </c>
      <c r="C3" s="2" t="s">
        <v>14</v>
      </c>
      <c r="D3" s="2" t="s">
        <v>15</v>
      </c>
      <c r="E3" s="3">
        <v>38903</v>
      </c>
      <c r="F3" s="2" t="s">
        <v>13</v>
      </c>
      <c r="G3" s="2">
        <v>65</v>
      </c>
      <c r="H3" s="2">
        <v>71</v>
      </c>
      <c r="I3" s="2">
        <v>68</v>
      </c>
      <c r="J3" s="2">
        <v>74</v>
      </c>
      <c r="K3" s="2">
        <v>70</v>
      </c>
    </row>
    <row r="4" spans="1:11" ht="28.8" x14ac:dyDescent="0.3">
      <c r="A4" s="2">
        <v>3</v>
      </c>
      <c r="B4" s="2">
        <v>103</v>
      </c>
      <c r="C4" s="2" t="s">
        <v>16</v>
      </c>
      <c r="D4" s="2" t="s">
        <v>17</v>
      </c>
      <c r="E4" s="3">
        <v>39346</v>
      </c>
      <c r="F4" s="2" t="s">
        <v>13</v>
      </c>
      <c r="G4" s="2">
        <v>88</v>
      </c>
      <c r="H4" s="2">
        <v>84</v>
      </c>
      <c r="I4" s="2">
        <v>79</v>
      </c>
      <c r="J4" s="2">
        <v>91</v>
      </c>
      <c r="K4" s="2">
        <v>86</v>
      </c>
    </row>
    <row r="5" spans="1:11" ht="28.8" x14ac:dyDescent="0.3">
      <c r="A5" s="2">
        <v>4</v>
      </c>
      <c r="B5" s="2">
        <v>104</v>
      </c>
      <c r="C5" s="2" t="s">
        <v>18</v>
      </c>
      <c r="D5" s="2" t="s">
        <v>19</v>
      </c>
      <c r="E5" s="3">
        <v>38791</v>
      </c>
      <c r="F5" s="2" t="s">
        <v>13</v>
      </c>
      <c r="G5" s="2">
        <v>72</v>
      </c>
      <c r="H5" s="2">
        <v>66</v>
      </c>
      <c r="I5" s="2">
        <v>70</v>
      </c>
      <c r="J5" s="2">
        <v>68</v>
      </c>
      <c r="K5" s="2">
        <v>14</v>
      </c>
    </row>
    <row r="6" spans="1:11" ht="28.8" x14ac:dyDescent="0.3">
      <c r="A6" s="2">
        <v>5</v>
      </c>
      <c r="B6" s="2">
        <v>105</v>
      </c>
      <c r="C6" s="2" t="s">
        <v>20</v>
      </c>
      <c r="D6" s="2" t="s">
        <v>21</v>
      </c>
      <c r="E6" s="3">
        <v>39387</v>
      </c>
      <c r="F6" s="2" t="s">
        <v>13</v>
      </c>
      <c r="G6" s="2">
        <v>81</v>
      </c>
      <c r="H6" s="2">
        <v>78</v>
      </c>
      <c r="I6" s="2">
        <v>85</v>
      </c>
      <c r="J6" s="2">
        <v>88</v>
      </c>
      <c r="K6" s="2">
        <v>82</v>
      </c>
    </row>
    <row r="7" spans="1:11" ht="28.8" x14ac:dyDescent="0.3">
      <c r="A7" s="2">
        <v>6</v>
      </c>
      <c r="B7" s="2">
        <v>106</v>
      </c>
      <c r="C7" s="2" t="s">
        <v>22</v>
      </c>
      <c r="D7" s="2" t="s">
        <v>23</v>
      </c>
      <c r="E7" s="3">
        <v>38726</v>
      </c>
      <c r="F7" s="2" t="s">
        <v>13</v>
      </c>
      <c r="G7" s="2">
        <v>59</v>
      </c>
      <c r="H7" s="2">
        <v>63</v>
      </c>
      <c r="I7" s="2">
        <v>61</v>
      </c>
      <c r="J7" s="2">
        <v>67</v>
      </c>
      <c r="K7" s="2">
        <v>65</v>
      </c>
    </row>
    <row r="8" spans="1:11" ht="28.8" x14ac:dyDescent="0.3">
      <c r="A8" s="2">
        <v>7</v>
      </c>
      <c r="B8" s="2">
        <v>107</v>
      </c>
      <c r="C8" s="2" t="s">
        <v>24</v>
      </c>
      <c r="D8" s="2" t="s">
        <v>25</v>
      </c>
      <c r="E8" s="3">
        <v>39251</v>
      </c>
      <c r="F8" s="2" t="s">
        <v>13</v>
      </c>
      <c r="G8" s="2">
        <v>90</v>
      </c>
      <c r="H8" s="2">
        <v>88</v>
      </c>
      <c r="I8" s="2">
        <v>92</v>
      </c>
      <c r="J8" s="2">
        <v>95</v>
      </c>
      <c r="K8" s="2">
        <v>91</v>
      </c>
    </row>
    <row r="9" spans="1:11" ht="28.8" x14ac:dyDescent="0.3">
      <c r="A9" s="2">
        <v>8</v>
      </c>
      <c r="B9" s="2">
        <v>108</v>
      </c>
      <c r="C9" s="2" t="s">
        <v>26</v>
      </c>
      <c r="D9" s="2" t="s">
        <v>27</v>
      </c>
      <c r="E9" s="3">
        <v>38829</v>
      </c>
      <c r="F9" s="2" t="s">
        <v>13</v>
      </c>
      <c r="G9" s="2">
        <v>74</v>
      </c>
      <c r="H9" s="2">
        <v>79</v>
      </c>
      <c r="I9" s="2">
        <v>76</v>
      </c>
      <c r="J9" s="2">
        <v>24</v>
      </c>
      <c r="K9" s="2">
        <v>77</v>
      </c>
    </row>
    <row r="10" spans="1:11" ht="28.8" x14ac:dyDescent="0.3">
      <c r="A10" s="2">
        <v>9</v>
      </c>
      <c r="B10" s="2">
        <v>109</v>
      </c>
      <c r="C10" s="2" t="s">
        <v>28</v>
      </c>
      <c r="D10" s="2" t="s">
        <v>29</v>
      </c>
      <c r="E10" s="3">
        <v>39446</v>
      </c>
      <c r="F10" s="2" t="s">
        <v>13</v>
      </c>
      <c r="G10" s="2">
        <v>68</v>
      </c>
      <c r="H10" s="2">
        <v>64</v>
      </c>
      <c r="I10" s="2">
        <v>66</v>
      </c>
      <c r="J10" s="2">
        <v>70</v>
      </c>
      <c r="K10" s="2">
        <v>69</v>
      </c>
    </row>
    <row r="11" spans="1:11" ht="28.8" x14ac:dyDescent="0.3">
      <c r="A11" s="2">
        <v>10</v>
      </c>
      <c r="B11" s="2">
        <v>110</v>
      </c>
      <c r="C11" s="2" t="s">
        <v>30</v>
      </c>
      <c r="D11" s="2" t="s">
        <v>31</v>
      </c>
      <c r="E11" s="3">
        <v>38943</v>
      </c>
      <c r="F11" s="2" t="s">
        <v>13</v>
      </c>
      <c r="G11" s="2">
        <v>85</v>
      </c>
      <c r="H11" s="2">
        <v>82</v>
      </c>
      <c r="I11" s="2">
        <v>80</v>
      </c>
      <c r="J11" s="2">
        <v>87</v>
      </c>
      <c r="K11" s="2">
        <v>84</v>
      </c>
    </row>
    <row r="12" spans="1:11" ht="28.8" x14ac:dyDescent="0.3">
      <c r="A12" s="2">
        <v>11</v>
      </c>
      <c r="B12" s="2">
        <v>111</v>
      </c>
      <c r="C12" s="2" t="s">
        <v>32</v>
      </c>
      <c r="D12" s="2" t="s">
        <v>33</v>
      </c>
      <c r="E12" s="3">
        <v>39213</v>
      </c>
      <c r="F12" s="2" t="s">
        <v>13</v>
      </c>
      <c r="G12" s="2">
        <v>61</v>
      </c>
      <c r="H12" s="2">
        <v>58</v>
      </c>
      <c r="I12" s="2">
        <v>63</v>
      </c>
      <c r="J12" s="2">
        <v>66</v>
      </c>
      <c r="K12" s="2">
        <v>60</v>
      </c>
    </row>
    <row r="13" spans="1:11" ht="28.8" x14ac:dyDescent="0.3">
      <c r="A13" s="2">
        <v>12</v>
      </c>
      <c r="B13" s="2">
        <v>112</v>
      </c>
      <c r="C13" s="2" t="s">
        <v>34</v>
      </c>
      <c r="D13" s="2" t="s">
        <v>35</v>
      </c>
      <c r="E13" s="3">
        <v>38993</v>
      </c>
      <c r="F13" s="2" t="s">
        <v>13</v>
      </c>
      <c r="G13" s="2">
        <v>92</v>
      </c>
      <c r="H13" s="2">
        <v>90</v>
      </c>
      <c r="I13" s="2">
        <v>94</v>
      </c>
      <c r="J13" s="2">
        <v>96</v>
      </c>
      <c r="K13" s="2">
        <v>93</v>
      </c>
    </row>
    <row r="14" spans="1:11" ht="28.8" x14ac:dyDescent="0.3">
      <c r="A14" s="2">
        <v>13</v>
      </c>
      <c r="B14" s="2">
        <v>113</v>
      </c>
      <c r="C14" s="2" t="s">
        <v>36</v>
      </c>
      <c r="D14" s="2" t="s">
        <v>37</v>
      </c>
      <c r="E14" s="3">
        <v>39101</v>
      </c>
      <c r="F14" s="2" t="s">
        <v>13</v>
      </c>
      <c r="G14" s="2">
        <v>73</v>
      </c>
      <c r="H14" s="2">
        <v>75</v>
      </c>
      <c r="I14" s="2">
        <v>71</v>
      </c>
      <c r="J14" s="2">
        <v>7</v>
      </c>
      <c r="K14" s="2">
        <v>72</v>
      </c>
    </row>
    <row r="15" spans="1:11" ht="28.8" x14ac:dyDescent="0.3">
      <c r="A15" s="2">
        <v>14</v>
      </c>
      <c r="B15" s="2">
        <v>114</v>
      </c>
      <c r="C15" s="2" t="s">
        <v>38</v>
      </c>
      <c r="D15" s="2" t="s">
        <v>39</v>
      </c>
      <c r="E15" s="3">
        <v>38925</v>
      </c>
      <c r="F15" s="2" t="s">
        <v>13</v>
      </c>
      <c r="G15" s="2">
        <v>83</v>
      </c>
      <c r="H15" s="2">
        <v>86</v>
      </c>
      <c r="I15" s="2">
        <v>81</v>
      </c>
      <c r="J15" s="2">
        <v>84</v>
      </c>
      <c r="K15" s="2">
        <v>80</v>
      </c>
    </row>
    <row r="16" spans="1:11" ht="28.8" x14ac:dyDescent="0.3">
      <c r="A16" s="2">
        <v>15</v>
      </c>
      <c r="B16" s="2">
        <v>115</v>
      </c>
      <c r="C16" s="2" t="s">
        <v>40</v>
      </c>
      <c r="D16" s="2" t="s">
        <v>41</v>
      </c>
      <c r="E16" s="3">
        <v>39121</v>
      </c>
      <c r="F16" s="2" t="s">
        <v>13</v>
      </c>
      <c r="G16" s="2">
        <v>67</v>
      </c>
      <c r="H16" s="2">
        <v>70</v>
      </c>
      <c r="I16" s="2">
        <v>65</v>
      </c>
      <c r="J16" s="2">
        <v>62</v>
      </c>
      <c r="K16" s="2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6032-E1CF-4397-AB06-0F733EEE1D72}">
  <dimension ref="B1:S26"/>
  <sheetViews>
    <sheetView tabSelected="1" zoomScale="75" zoomScaleNormal="100" workbookViewId="0">
      <selection activeCell="E10" sqref="E10"/>
    </sheetView>
  </sheetViews>
  <sheetFormatPr defaultRowHeight="14.4" x14ac:dyDescent="0.3"/>
  <cols>
    <col min="1" max="1" width="8.77734375" customWidth="1"/>
    <col min="2" max="2" width="3.21875" customWidth="1"/>
    <col min="3" max="3" width="23.88671875" customWidth="1"/>
    <col min="4" max="4" width="2.5546875" customWidth="1"/>
    <col min="5" max="5" width="11.88671875" customWidth="1"/>
    <col min="6" max="6" width="12.44140625" customWidth="1"/>
    <col min="7" max="7" width="14.77734375" customWidth="1"/>
    <col min="8" max="8" width="15.6640625" customWidth="1"/>
    <col min="9" max="9" width="14.77734375" customWidth="1"/>
    <col min="10" max="10" width="9.77734375" customWidth="1"/>
    <col min="11" max="11" width="7" customWidth="1"/>
    <col min="12" max="12" width="6.44140625" customWidth="1"/>
    <col min="19" max="19" width="20.21875" customWidth="1"/>
  </cols>
  <sheetData>
    <row r="1" spans="2:19" ht="22.8" customHeight="1" x14ac:dyDescent="0.3"/>
    <row r="2" spans="2:19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9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Q3" s="10">
        <v>0</v>
      </c>
      <c r="R3" t="s">
        <v>54</v>
      </c>
      <c r="S3" t="s">
        <v>58</v>
      </c>
    </row>
    <row r="4" spans="2:19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  <c r="Q4" s="9">
        <v>0.75</v>
      </c>
      <c r="R4" t="s">
        <v>55</v>
      </c>
      <c r="S4" t="s">
        <v>61</v>
      </c>
    </row>
    <row r="5" spans="2:19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  <c r="Q5" s="9">
        <v>0.85</v>
      </c>
      <c r="R5" t="s">
        <v>56</v>
      </c>
      <c r="S5" t="s">
        <v>60</v>
      </c>
    </row>
    <row r="6" spans="2:19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  <c r="Q6" s="9">
        <v>0.95</v>
      </c>
      <c r="R6" t="s">
        <v>57</v>
      </c>
      <c r="S6" t="s">
        <v>59</v>
      </c>
    </row>
    <row r="7" spans="2:19" x14ac:dyDescent="0.3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9" x14ac:dyDescent="0.3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9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9" x14ac:dyDescent="0.3">
      <c r="B10" s="4"/>
      <c r="C10" s="5" t="s">
        <v>42</v>
      </c>
      <c r="D10" s="5" t="s">
        <v>43</v>
      </c>
      <c r="E10" s="14">
        <v>115</v>
      </c>
      <c r="F10" s="4"/>
      <c r="G10" s="4"/>
      <c r="H10" s="4"/>
      <c r="I10" s="4"/>
      <c r="J10" s="4"/>
      <c r="K10" s="4"/>
      <c r="L10" s="4"/>
    </row>
    <row r="11" spans="2:19" x14ac:dyDescent="0.3">
      <c r="B11" s="4"/>
      <c r="C11" s="5" t="s">
        <v>5</v>
      </c>
      <c r="D11" s="5" t="s">
        <v>43</v>
      </c>
      <c r="E11" s="11" t="str">
        <f>VLOOKUP(E10,DATABASE!B2:K16,5,0)</f>
        <v>10th</v>
      </c>
      <c r="F11" s="4"/>
      <c r="G11" s="4"/>
      <c r="H11" s="4"/>
      <c r="I11" s="4"/>
      <c r="J11" s="4"/>
      <c r="K11" s="4"/>
      <c r="L11" s="4"/>
    </row>
    <row r="12" spans="2:19" x14ac:dyDescent="0.3">
      <c r="B12" s="4"/>
      <c r="C12" s="5" t="s">
        <v>2</v>
      </c>
      <c r="D12" s="5" t="s">
        <v>43</v>
      </c>
      <c r="E12" s="11" t="str">
        <f>VLOOKUP(E10,DATABASE!B2:K16,2,0)</f>
        <v>Manish Dubey</v>
      </c>
      <c r="F12" s="4"/>
      <c r="G12" s="4"/>
      <c r="H12" s="4"/>
      <c r="I12" s="4"/>
      <c r="J12" s="4"/>
      <c r="K12" s="4"/>
      <c r="L12" s="4"/>
    </row>
    <row r="13" spans="2:19" x14ac:dyDescent="0.3">
      <c r="B13" s="4"/>
      <c r="C13" s="5" t="s">
        <v>3</v>
      </c>
      <c r="D13" s="5" t="s">
        <v>43</v>
      </c>
      <c r="E13" s="11" t="str">
        <f>VLOOKUP(E10,DATABASE!B2:K16,3,0)</f>
        <v>Sanjay Dubey</v>
      </c>
      <c r="F13" s="4"/>
      <c r="G13" s="4"/>
      <c r="H13" s="4"/>
      <c r="I13" s="4"/>
      <c r="J13" s="4"/>
      <c r="K13" s="4"/>
      <c r="L13" s="4"/>
    </row>
    <row r="14" spans="2:19" x14ac:dyDescent="0.3">
      <c r="B14" s="4"/>
      <c r="C14" s="5" t="s">
        <v>4</v>
      </c>
      <c r="D14" s="5" t="s">
        <v>43</v>
      </c>
      <c r="E14" s="12">
        <f>VLOOKUP(E10,DATABASE!B2:K16,4,0)</f>
        <v>39121</v>
      </c>
      <c r="F14" s="4"/>
      <c r="G14" s="4"/>
      <c r="H14" s="4"/>
      <c r="I14" s="4"/>
      <c r="J14" s="4"/>
      <c r="K14" s="4"/>
      <c r="L14" s="4"/>
    </row>
    <row r="15" spans="2:19" ht="15" thickBot="1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2:19" ht="15" thickBot="1" x14ac:dyDescent="0.35">
      <c r="B16" s="4"/>
      <c r="C16" s="4"/>
      <c r="D16" s="4"/>
      <c r="E16" s="6" t="s">
        <v>44</v>
      </c>
      <c r="F16" s="13" t="s">
        <v>45</v>
      </c>
      <c r="G16" s="6" t="s">
        <v>46</v>
      </c>
      <c r="H16" s="6" t="s">
        <v>47</v>
      </c>
      <c r="I16" s="6" t="s">
        <v>48</v>
      </c>
      <c r="J16" s="6" t="s">
        <v>49</v>
      </c>
      <c r="K16" s="4"/>
      <c r="L16" s="4"/>
    </row>
    <row r="17" spans="2:12" ht="15" thickBot="1" x14ac:dyDescent="0.35">
      <c r="B17" s="4"/>
      <c r="C17" s="4"/>
      <c r="D17" s="4"/>
      <c r="E17" s="6" t="s">
        <v>6</v>
      </c>
      <c r="F17" s="6">
        <v>100</v>
      </c>
      <c r="G17" s="6">
        <v>33</v>
      </c>
      <c r="H17" s="7">
        <f>VLOOKUP($E$10,DATABASE!$B$2:$K$16,MATCH(E17,DATABASE!$B$1:$K$1,0),FALSE)</f>
        <v>67</v>
      </c>
      <c r="I17" s="8">
        <f>H17/F17</f>
        <v>0.67</v>
      </c>
      <c r="J17" s="7" t="str">
        <f>IF(H17&lt;G17,"Fail","Pass")</f>
        <v>Pass</v>
      </c>
      <c r="K17" s="4"/>
      <c r="L17" s="4"/>
    </row>
    <row r="18" spans="2:12" ht="15" thickBot="1" x14ac:dyDescent="0.35">
      <c r="B18" s="4"/>
      <c r="C18" s="4"/>
      <c r="D18" s="4"/>
      <c r="E18" s="6" t="s">
        <v>7</v>
      </c>
      <c r="F18" s="6">
        <v>100</v>
      </c>
      <c r="G18" s="6">
        <v>33</v>
      </c>
      <c r="H18" s="7">
        <f>VLOOKUP($E$10,DATABASE!$B$2:$K$16,MATCH(E18,DATABASE!$B$1:$K$1,0),FALSE)</f>
        <v>70</v>
      </c>
      <c r="I18" s="8">
        <f t="shared" ref="I18:I21" si="0">H18/F18</f>
        <v>0.7</v>
      </c>
      <c r="J18" s="7" t="str">
        <f t="shared" ref="J18:J21" si="1">IF(H18&lt;G18,"Fail","Pass")</f>
        <v>Pass</v>
      </c>
      <c r="K18" s="4"/>
      <c r="L18" s="4"/>
    </row>
    <row r="19" spans="2:12" ht="15" thickBot="1" x14ac:dyDescent="0.35">
      <c r="B19" s="4"/>
      <c r="C19" s="4"/>
      <c r="D19" s="4"/>
      <c r="E19" s="6" t="s">
        <v>8</v>
      </c>
      <c r="F19" s="6">
        <v>100</v>
      </c>
      <c r="G19" s="6">
        <v>33</v>
      </c>
      <c r="H19" s="7">
        <f>VLOOKUP($E$10,DATABASE!$B$2:$K$16,MATCH(E19,DATABASE!$B$1:$K$1,0),FALSE)</f>
        <v>65</v>
      </c>
      <c r="I19" s="8">
        <f t="shared" si="0"/>
        <v>0.65</v>
      </c>
      <c r="J19" s="7" t="str">
        <f t="shared" si="1"/>
        <v>Pass</v>
      </c>
      <c r="K19" s="4"/>
      <c r="L19" s="4"/>
    </row>
    <row r="20" spans="2:12" ht="15" thickBot="1" x14ac:dyDescent="0.35">
      <c r="B20" s="4"/>
      <c r="C20" s="4"/>
      <c r="D20" s="4"/>
      <c r="E20" s="6" t="s">
        <v>9</v>
      </c>
      <c r="F20" s="6">
        <v>100</v>
      </c>
      <c r="G20" s="6">
        <v>33</v>
      </c>
      <c r="H20" s="7">
        <f>VLOOKUP($E$10,DATABASE!$B$2:$K$16,MATCH(E20,DATABASE!$B$1:$K$1,0),FALSE)</f>
        <v>62</v>
      </c>
      <c r="I20" s="8">
        <f t="shared" si="0"/>
        <v>0.62</v>
      </c>
      <c r="J20" s="7" t="str">
        <f t="shared" si="1"/>
        <v>Pass</v>
      </c>
      <c r="K20" s="4"/>
      <c r="L20" s="4"/>
    </row>
    <row r="21" spans="2:12" ht="15" thickBot="1" x14ac:dyDescent="0.35">
      <c r="B21" s="4"/>
      <c r="C21" s="4"/>
      <c r="D21" s="4"/>
      <c r="E21" s="6" t="s">
        <v>10</v>
      </c>
      <c r="F21" s="6">
        <v>100</v>
      </c>
      <c r="G21" s="6">
        <v>33</v>
      </c>
      <c r="H21" s="7">
        <f>VLOOKUP($E$10,DATABASE!$B$2:$K$16,MATCH(E21,DATABASE!$B$1:$K$1,0),FALSE)</f>
        <v>68</v>
      </c>
      <c r="I21" s="8">
        <f t="shared" si="0"/>
        <v>0.68</v>
      </c>
      <c r="J21" s="7" t="str">
        <f t="shared" si="1"/>
        <v>Pass</v>
      </c>
      <c r="K21" s="4"/>
      <c r="L21" s="4"/>
    </row>
    <row r="22" spans="2:12" ht="15" thickBot="1" x14ac:dyDescent="0.35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5" thickBot="1" x14ac:dyDescent="0.35">
      <c r="B23" s="4"/>
      <c r="C23" s="4"/>
      <c r="D23" s="4"/>
      <c r="E23" s="4"/>
      <c r="F23" s="4"/>
      <c r="G23" s="4"/>
      <c r="H23" s="4"/>
      <c r="I23" s="6" t="s">
        <v>50</v>
      </c>
      <c r="J23" s="7">
        <f>SUM(F17:F21)</f>
        <v>500</v>
      </c>
      <c r="K23" s="4"/>
      <c r="L23" s="4"/>
    </row>
    <row r="24" spans="2:12" ht="15" thickBot="1" x14ac:dyDescent="0.35">
      <c r="B24" s="4"/>
      <c r="C24" s="4"/>
      <c r="D24" s="4"/>
      <c r="E24" s="5" t="s">
        <v>51</v>
      </c>
      <c r="F24" s="5" t="str">
        <f>IF(J25&gt;=60%,"Passed","Fail")</f>
        <v>Passed</v>
      </c>
      <c r="G24" s="4"/>
      <c r="H24" s="4"/>
      <c r="I24" s="6" t="s">
        <v>47</v>
      </c>
      <c r="J24" s="7">
        <f>SUM(H17:H21)</f>
        <v>332</v>
      </c>
      <c r="K24" s="4"/>
      <c r="L24" s="4"/>
    </row>
    <row r="25" spans="2:12" ht="12.6" customHeight="1" thickBot="1" x14ac:dyDescent="0.35">
      <c r="B25" s="4"/>
      <c r="C25" s="4"/>
      <c r="D25" s="4"/>
      <c r="E25" s="5" t="s">
        <v>52</v>
      </c>
      <c r="F25" s="4" t="str">
        <f>LOOKUP(J25,Q3:Q6,R3:R6)</f>
        <v>No Grade</v>
      </c>
      <c r="G25" s="4"/>
      <c r="H25" s="4"/>
      <c r="I25" s="6" t="s">
        <v>48</v>
      </c>
      <c r="J25" s="8">
        <f>J24/J23</f>
        <v>0.66400000000000003</v>
      </c>
      <c r="K25" s="4" t="s">
        <v>53</v>
      </c>
      <c r="L25" s="4"/>
    </row>
    <row r="26" spans="2:12" ht="26.4" customHeight="1" x14ac:dyDescent="0.3">
      <c r="B26" s="4"/>
      <c r="C26" s="5" t="s">
        <v>62</v>
      </c>
      <c r="D26" s="4"/>
      <c r="E26" s="4"/>
      <c r="F26" s="4" t="str">
        <f>IF(J25&gt;=80,"Excellent Performance",
IF(J25&gt;=60,"Good Performance",
IF(J25&gt;=40,"Average Performance",
"Needs Improvement")))</f>
        <v>Needs Improvement</v>
      </c>
      <c r="G26" s="4"/>
      <c r="H26" s="4"/>
      <c r="I26" s="4"/>
      <c r="J26" s="4"/>
      <c r="K26" s="5"/>
      <c r="L26" s="4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6650AE-B2D2-4BAC-879A-DBD61A91F6FC}">
          <x14:formula1>
            <xm:f>DATABASE!$B$2:$B$16</xm:f>
          </x14:formula1>
          <xm:sqref>E10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souravsingh0138@hotmail.com</dc:creator>
  <cp:lastModifiedBy>souravsingh0138@hotmail.com</cp:lastModifiedBy>
  <dcterms:created xsi:type="dcterms:W3CDTF">2026-02-22T12:43:19Z</dcterms:created>
  <dcterms:modified xsi:type="dcterms:W3CDTF">2026-03-16T03:56:17Z</dcterms:modified>
</cp:coreProperties>
</file>